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D748359-D173-418A-83AD-32F97941A53C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Лист1" sheetId="1" r:id="rId1"/>
  </sheets>
  <definedNames>
    <definedName name="_xlnm._FilterDatabase" localSheetId="0" hidden="1">Лист1!$A$1:$V$32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6" i="1" l="1"/>
  <c r="K18" i="1"/>
  <c r="K19" i="1"/>
  <c r="K20" i="1"/>
  <c r="K31" i="1"/>
  <c r="K32" i="1"/>
  <c r="K15" i="1"/>
  <c r="J15" i="1"/>
  <c r="K14" i="1"/>
  <c r="J14" i="1"/>
  <c r="K5" i="1"/>
  <c r="J5" i="1"/>
  <c r="K3" i="1"/>
  <c r="J3" i="1"/>
  <c r="K2" i="1"/>
  <c r="J2" i="1"/>
</calcChain>
</file>

<file path=xl/sharedStrings.xml><?xml version="1.0" encoding="utf-8"?>
<sst xmlns="http://schemas.openxmlformats.org/spreadsheetml/2006/main" count="185" uniqueCount="108">
  <si>
    <t>Фамилия</t>
  </si>
  <si>
    <t>Дата рожд</t>
  </si>
  <si>
    <t>год рожд</t>
  </si>
  <si>
    <t>пол</t>
  </si>
  <si>
    <t>Должность</t>
  </si>
  <si>
    <t>стаж с</t>
  </si>
  <si>
    <t>проф.вредн Дз</t>
  </si>
  <si>
    <t>проф.вредн Год</t>
  </si>
  <si>
    <t>стаж</t>
  </si>
  <si>
    <t>возраст</t>
  </si>
  <si>
    <t>Гр.ИНВ общ</t>
  </si>
  <si>
    <t>Др.Дзы</t>
  </si>
  <si>
    <t>ОДА</t>
  </si>
  <si>
    <t>ССЗ</t>
  </si>
  <si>
    <t>ЖКТ</t>
  </si>
  <si>
    <t>ЛОР</t>
  </si>
  <si>
    <t>Зрение</t>
  </si>
  <si>
    <t>Одых</t>
  </si>
  <si>
    <t>Почки</t>
  </si>
  <si>
    <t>Энд</t>
  </si>
  <si>
    <t>проч</t>
  </si>
  <si>
    <t>АБРАМОВ</t>
  </si>
  <si>
    <t>М</t>
  </si>
  <si>
    <t>ТБЦ КОТЕЛЬЩИК</t>
  </si>
  <si>
    <t>Т75.2</t>
  </si>
  <si>
    <t>деф.артроз колен и плечей</t>
  </si>
  <si>
    <t>гиперт.бол.</t>
  </si>
  <si>
    <t>хр.гастрит</t>
  </si>
  <si>
    <t xml:space="preserve">нейросенсорная тугоухость </t>
  </si>
  <si>
    <t>Аксенов</t>
  </si>
  <si>
    <t xml:space="preserve">    ПМК И СДТ   котельщик</t>
  </si>
  <si>
    <t xml:space="preserve">полинейропатия верх кон; деф.артроз </t>
  </si>
  <si>
    <t>Алентьев</t>
  </si>
  <si>
    <t xml:space="preserve">   ПМК        котельщик</t>
  </si>
  <si>
    <t>Алешин</t>
  </si>
  <si>
    <t xml:space="preserve">      ТБЦ      котельщик</t>
  </si>
  <si>
    <t>Вегетативно-серсорная полинейропатия верх кон; деф.артроз верхних конечностей</t>
  </si>
  <si>
    <t>Алпатов</t>
  </si>
  <si>
    <t>Андрющенко</t>
  </si>
  <si>
    <t>котельщик</t>
  </si>
  <si>
    <t>Анисимов</t>
  </si>
  <si>
    <t>ППН       КОТЕЛЬЩИК</t>
  </si>
  <si>
    <t>Аншаков</t>
  </si>
  <si>
    <t>КОТЕЛЬЩИК</t>
  </si>
  <si>
    <t>Ачкасов</t>
  </si>
  <si>
    <t xml:space="preserve">  ТБЦ       котельщик</t>
  </si>
  <si>
    <t>Ашуба</t>
  </si>
  <si>
    <t>ТБЦ  котельщик</t>
  </si>
  <si>
    <t>Бабич</t>
  </si>
  <si>
    <t>Барышов</t>
  </si>
  <si>
    <t>ППН КОТЕЛЬЩИК</t>
  </si>
  <si>
    <t>Батий</t>
  </si>
  <si>
    <t>деф.артроз колен и плечей,артралгия НФС1</t>
  </si>
  <si>
    <t>гиперт.бол. 2 ст; дислипидемия</t>
  </si>
  <si>
    <t>нейросенсорная тугоухость значит степ; хр.катаральный фарингит</t>
  </si>
  <si>
    <t>ангиопатия сетчатки</t>
  </si>
  <si>
    <t>J44.8</t>
  </si>
  <si>
    <t>Белан</t>
  </si>
  <si>
    <t>онко</t>
  </si>
  <si>
    <t>Вегетативно-серсорная полинейропатия верх кон; деф.артроз локти, запястья, плечи, эпикондилит плечо</t>
  </si>
  <si>
    <t>гиперт.болезнь 2 ст</t>
  </si>
  <si>
    <t>хр.катаральный фарингит</t>
  </si>
  <si>
    <t>ангиопатия сенчатки риск 3</t>
  </si>
  <si>
    <t>ХБП, ХПН 1 ст, очаговое образование надпочечника</t>
  </si>
  <si>
    <t>Дудников</t>
  </si>
  <si>
    <t>К22</t>
  </si>
  <si>
    <t>К25</t>
  </si>
  <si>
    <t>Калашников</t>
  </si>
  <si>
    <t xml:space="preserve">   ТБЦ          эл.сварщик ручн. сварки</t>
  </si>
  <si>
    <t>I25, Е78</t>
  </si>
  <si>
    <t>H25</t>
  </si>
  <si>
    <t>I11</t>
  </si>
  <si>
    <t>Кузьмин</t>
  </si>
  <si>
    <t xml:space="preserve">   ЦРО     эл.сварщик  </t>
  </si>
  <si>
    <t>Толкачев</t>
  </si>
  <si>
    <t>ЭЛЕКТРОГАЗОСВАРЩИК</t>
  </si>
  <si>
    <t>I11, Е78</t>
  </si>
  <si>
    <t>K29</t>
  </si>
  <si>
    <t>Косов</t>
  </si>
  <si>
    <t>эл.сварщик</t>
  </si>
  <si>
    <t>H90</t>
  </si>
  <si>
    <t>N20</t>
  </si>
  <si>
    <t>Сергета</t>
  </si>
  <si>
    <t>Чистохвалов</t>
  </si>
  <si>
    <t>ЭЛ.СВАРЩИК</t>
  </si>
  <si>
    <t>E11</t>
  </si>
  <si>
    <t>Усиков</t>
  </si>
  <si>
    <t>K22</t>
  </si>
  <si>
    <t>Гриценко</t>
  </si>
  <si>
    <t>Якин</t>
  </si>
  <si>
    <t>ЭЛЕКТРОСВАРЩИК</t>
  </si>
  <si>
    <t>Нестеренко</t>
  </si>
  <si>
    <t>МС        эл.сварщик</t>
  </si>
  <si>
    <t>Кислов</t>
  </si>
  <si>
    <t xml:space="preserve">   ТБЦ       эл. сварщик</t>
  </si>
  <si>
    <t>Покусин</t>
  </si>
  <si>
    <t xml:space="preserve">    ТБЦ      электросварщик</t>
  </si>
  <si>
    <t>ЭЛ.СВАРЩИК   ППН</t>
  </si>
  <si>
    <t>Гусев</t>
  </si>
  <si>
    <t>электорсварщик</t>
  </si>
  <si>
    <t>Стукалов</t>
  </si>
  <si>
    <t>электросварщик</t>
  </si>
  <si>
    <t>J63</t>
  </si>
  <si>
    <t>Холодов</t>
  </si>
  <si>
    <t>Серебряк</t>
  </si>
  <si>
    <t>электросварщимк</t>
  </si>
  <si>
    <t>K21</t>
  </si>
  <si>
    <t>предприятие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</si>
</sst>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BF819E"/>
        <bgColor rgb="FF808080"/>
      </patternFill>
    </fill>
    <fill>
      <patternFill patternType="solid">
        <fgColor theme="5" tint="0.79989013336588644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 applyProtection="1"/>
    <xf numFmtId="0" fontId="0" fillId="0" borderId="1" xfId="0" applyFont="1" applyBorder="1" applyAlignment="1" applyProtection="1"/>
    <xf numFmtId="0" fontId="0" fillId="2" borderId="1" xfId="0" applyFont="1" applyFill="1" applyBorder="1" applyAlignment="1" applyProtection="1"/>
    <xf numFmtId="0" fontId="0" fillId="3" borderId="0" xfId="0" applyFont="1" applyFill="1" applyAlignment="1" applyProtection="1"/>
    <xf numFmtId="14" fontId="0" fillId="0" borderId="1" xfId="0" applyNumberFormat="1" applyBorder="1" applyAlignment="1" applyProtection="1"/>
    <xf numFmtId="0" fontId="0" fillId="4" borderId="1" xfId="0" applyFont="1" applyFill="1" applyBorder="1" applyAlignment="1" applyProtection="1"/>
    <xf numFmtId="0" fontId="0" fillId="3" borderId="0" xfId="0" applyFill="1" applyAlignment="1" applyProtection="1"/>
    <xf numFmtId="0" fontId="0" fillId="0" borderId="1" xfId="0" applyBorder="1" applyAlignment="1" applyProtection="1"/>
    <xf numFmtId="0" fontId="0" fillId="5" borderId="1" xfId="0" applyFont="1" applyFill="1" applyBorder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BF819E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"/>
  <sheetViews>
    <sheetView tabSelected="1" zoomScale="80" zoomScaleNormal="80" workbookViewId="0">
      <selection activeCell="N34" sqref="N34"/>
    </sheetView>
  </sheetViews>
  <sheetFormatPr defaultColWidth="8.6640625" defaultRowHeight="14.4" x14ac:dyDescent="0.3"/>
  <cols>
    <col min="1" max="1" width="17.21875" customWidth="1"/>
    <col min="2" max="2" width="13.6640625" customWidth="1"/>
    <col min="3" max="3" width="10.33203125" style="1" customWidth="1"/>
    <col min="5" max="5" width="37.77734375" customWidth="1"/>
    <col min="6" max="6" width="21" customWidth="1"/>
    <col min="7" max="7" width="19.6640625" customWidth="1"/>
    <col min="8" max="8" width="19" customWidth="1"/>
    <col min="9" max="9" width="19.33203125" customWidth="1"/>
    <col min="11" max="11" width="12.33203125" customWidth="1"/>
    <col min="12" max="12" width="20.6640625" customWidth="1"/>
    <col min="13" max="13" width="15.33203125" customWidth="1"/>
    <col min="14" max="14" width="99.77734375" customWidth="1"/>
    <col min="15" max="15" width="35" customWidth="1"/>
    <col min="16" max="16" width="15.109375" customWidth="1"/>
    <col min="17" max="17" width="65.33203125" customWidth="1"/>
    <col min="18" max="18" width="36.21875" customWidth="1"/>
    <col min="19" max="19" width="13" customWidth="1"/>
    <col min="20" max="20" width="51.88671875" customWidth="1"/>
    <col min="21" max="21" width="12.88671875" customWidth="1"/>
  </cols>
  <sheetData>
    <row r="1" spans="1:22" x14ac:dyDescent="0.3">
      <c r="A1" s="2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2" t="s">
        <v>107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4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 s="2" t="s">
        <v>21</v>
      </c>
      <c r="B2" s="5">
        <v>29906</v>
      </c>
      <c r="C2" s="2">
        <v>1981</v>
      </c>
      <c r="D2" s="2" t="s">
        <v>22</v>
      </c>
      <c r="E2" s="6" t="s">
        <v>23</v>
      </c>
      <c r="F2" s="2">
        <v>1</v>
      </c>
      <c r="G2">
        <v>2000</v>
      </c>
      <c r="H2" s="1" t="s">
        <v>24</v>
      </c>
      <c r="I2" s="1">
        <v>2018</v>
      </c>
      <c r="J2" s="1">
        <f>I2-G2</f>
        <v>18</v>
      </c>
      <c r="K2" s="1">
        <f>I2-C2</f>
        <v>37</v>
      </c>
      <c r="L2" s="1"/>
      <c r="M2" s="7"/>
      <c r="N2" s="1" t="s">
        <v>25</v>
      </c>
      <c r="O2" t="s">
        <v>26</v>
      </c>
      <c r="P2" s="1" t="s">
        <v>27</v>
      </c>
      <c r="Q2" s="1" t="s">
        <v>28</v>
      </c>
    </row>
    <row r="3" spans="1:22" x14ac:dyDescent="0.3">
      <c r="A3" s="2" t="s">
        <v>29</v>
      </c>
      <c r="B3" s="5">
        <v>23535</v>
      </c>
      <c r="C3" s="2">
        <v>1964</v>
      </c>
      <c r="D3" s="2" t="s">
        <v>22</v>
      </c>
      <c r="E3" s="6" t="s">
        <v>30</v>
      </c>
      <c r="F3" s="2">
        <v>1</v>
      </c>
      <c r="G3">
        <v>1987</v>
      </c>
      <c r="H3" s="1" t="s">
        <v>24</v>
      </c>
      <c r="I3" s="1">
        <v>2001</v>
      </c>
      <c r="J3" s="1">
        <f>I3-G3</f>
        <v>14</v>
      </c>
      <c r="K3" s="1">
        <f>I3-C3</f>
        <v>37</v>
      </c>
      <c r="L3" s="1"/>
      <c r="M3" s="7"/>
      <c r="N3" t="s">
        <v>31</v>
      </c>
      <c r="Q3" s="1" t="s">
        <v>28</v>
      </c>
    </row>
    <row r="4" spans="1:22" x14ac:dyDescent="0.3">
      <c r="A4" s="2" t="s">
        <v>32</v>
      </c>
      <c r="B4" s="5">
        <v>33031</v>
      </c>
      <c r="C4" s="5"/>
      <c r="D4" s="2" t="s">
        <v>22</v>
      </c>
      <c r="E4" s="6" t="s">
        <v>33</v>
      </c>
      <c r="F4" s="2">
        <v>1</v>
      </c>
      <c r="H4" s="1"/>
      <c r="I4" s="1"/>
      <c r="J4" s="1"/>
      <c r="K4" s="1"/>
      <c r="L4" s="1"/>
      <c r="M4" s="7"/>
    </row>
    <row r="5" spans="1:22" x14ac:dyDescent="0.3">
      <c r="A5" s="2" t="s">
        <v>34</v>
      </c>
      <c r="B5" s="5">
        <v>27314</v>
      </c>
      <c r="C5" s="2">
        <v>1974</v>
      </c>
      <c r="D5" s="2" t="s">
        <v>22</v>
      </c>
      <c r="E5" s="6" t="s">
        <v>35</v>
      </c>
      <c r="F5" s="2">
        <v>1</v>
      </c>
      <c r="G5">
        <v>1998</v>
      </c>
      <c r="H5" s="1" t="s">
        <v>24</v>
      </c>
      <c r="I5" s="1">
        <v>2013</v>
      </c>
      <c r="J5" s="1">
        <f>I5-G5</f>
        <v>15</v>
      </c>
      <c r="K5" s="1">
        <f>I5-C5</f>
        <v>39</v>
      </c>
      <c r="L5" s="1"/>
      <c r="M5" s="7"/>
      <c r="N5" s="1" t="s">
        <v>36</v>
      </c>
    </row>
    <row r="6" spans="1:22" x14ac:dyDescent="0.3">
      <c r="A6" s="2" t="s">
        <v>37</v>
      </c>
      <c r="B6" s="5">
        <v>33993</v>
      </c>
      <c r="C6" s="5"/>
      <c r="D6" s="2" t="s">
        <v>22</v>
      </c>
      <c r="E6" s="6" t="s">
        <v>23</v>
      </c>
      <c r="F6" s="2">
        <v>1</v>
      </c>
      <c r="H6" s="1"/>
      <c r="I6" s="1"/>
      <c r="J6" s="1"/>
      <c r="K6" s="1"/>
      <c r="L6" s="1"/>
      <c r="M6" s="7"/>
    </row>
    <row r="7" spans="1:22" x14ac:dyDescent="0.3">
      <c r="A7" s="2" t="s">
        <v>38</v>
      </c>
      <c r="B7" s="5">
        <v>32824</v>
      </c>
      <c r="C7" s="5"/>
      <c r="D7" s="2" t="s">
        <v>22</v>
      </c>
      <c r="E7" s="6" t="s">
        <v>39</v>
      </c>
      <c r="F7" s="2">
        <v>1</v>
      </c>
      <c r="H7" s="1"/>
      <c r="I7" s="1"/>
      <c r="J7" s="1"/>
      <c r="K7" s="1"/>
      <c r="L7" s="1"/>
      <c r="M7" s="7"/>
    </row>
    <row r="8" spans="1:22" x14ac:dyDescent="0.3">
      <c r="A8" s="2" t="s">
        <v>40</v>
      </c>
      <c r="B8" s="5">
        <v>24340</v>
      </c>
      <c r="C8" s="5"/>
      <c r="D8" s="2" t="s">
        <v>22</v>
      </c>
      <c r="E8" s="6" t="s">
        <v>41</v>
      </c>
      <c r="F8" s="2">
        <v>1</v>
      </c>
      <c r="H8" s="1"/>
      <c r="I8" s="1"/>
      <c r="J8" s="1"/>
      <c r="K8" s="1"/>
      <c r="L8" s="1"/>
      <c r="M8" s="7"/>
    </row>
    <row r="9" spans="1:22" x14ac:dyDescent="0.3">
      <c r="A9" s="2" t="s">
        <v>42</v>
      </c>
      <c r="B9" s="5">
        <v>30031</v>
      </c>
      <c r="C9" s="5"/>
      <c r="D9" s="2" t="s">
        <v>22</v>
      </c>
      <c r="E9" s="6" t="s">
        <v>43</v>
      </c>
      <c r="F9" s="2">
        <v>1</v>
      </c>
      <c r="H9" s="1"/>
      <c r="I9" s="1"/>
      <c r="J9" s="1"/>
      <c r="K9" s="1"/>
      <c r="L9" s="1"/>
      <c r="M9" s="7"/>
    </row>
    <row r="10" spans="1:22" x14ac:dyDescent="0.3">
      <c r="A10" s="2" t="s">
        <v>44</v>
      </c>
      <c r="B10" s="5">
        <v>24725</v>
      </c>
      <c r="C10" s="5"/>
      <c r="D10" s="2" t="s">
        <v>22</v>
      </c>
      <c r="E10" s="6" t="s">
        <v>45</v>
      </c>
      <c r="F10" s="2">
        <v>1</v>
      </c>
      <c r="H10" s="1"/>
      <c r="I10" s="1"/>
      <c r="J10" s="1"/>
      <c r="K10" s="1"/>
      <c r="L10" s="1"/>
      <c r="M10" s="7"/>
    </row>
    <row r="11" spans="1:22" x14ac:dyDescent="0.3">
      <c r="A11" s="2" t="s">
        <v>46</v>
      </c>
      <c r="B11" s="5">
        <v>31220</v>
      </c>
      <c r="C11" s="5"/>
      <c r="D11" s="2" t="s">
        <v>22</v>
      </c>
      <c r="E11" s="6" t="s">
        <v>47</v>
      </c>
      <c r="F11" s="2">
        <v>1</v>
      </c>
      <c r="H11" s="1"/>
      <c r="I11" s="1"/>
      <c r="J11" s="1"/>
      <c r="K11" s="1"/>
      <c r="L11" s="1"/>
      <c r="M11" s="7"/>
    </row>
    <row r="12" spans="1:22" x14ac:dyDescent="0.3">
      <c r="A12" s="2" t="s">
        <v>48</v>
      </c>
      <c r="B12" s="5">
        <v>23919</v>
      </c>
      <c r="C12" s="5"/>
      <c r="D12" s="2" t="s">
        <v>22</v>
      </c>
      <c r="E12" s="6" t="s">
        <v>39</v>
      </c>
      <c r="F12" s="2">
        <v>1</v>
      </c>
      <c r="H12" s="1"/>
      <c r="I12" s="1"/>
      <c r="J12" s="1"/>
      <c r="K12" s="1"/>
      <c r="L12" s="1"/>
      <c r="M12" s="7"/>
    </row>
    <row r="13" spans="1:22" x14ac:dyDescent="0.3">
      <c r="A13" s="2" t="s">
        <v>49</v>
      </c>
      <c r="B13" s="5">
        <v>27640</v>
      </c>
      <c r="C13" s="5"/>
      <c r="D13" s="2" t="s">
        <v>22</v>
      </c>
      <c r="E13" s="6" t="s">
        <v>50</v>
      </c>
      <c r="F13" s="2">
        <v>1</v>
      </c>
      <c r="H13" s="1"/>
      <c r="I13" s="1"/>
      <c r="J13" s="1"/>
      <c r="K13" s="1"/>
      <c r="L13" s="1"/>
      <c r="M13" s="7"/>
    </row>
    <row r="14" spans="1:22" x14ac:dyDescent="0.3">
      <c r="A14" s="2" t="s">
        <v>51</v>
      </c>
      <c r="B14" s="5">
        <v>20945</v>
      </c>
      <c r="C14" s="2">
        <v>1957</v>
      </c>
      <c r="D14" s="2" t="s">
        <v>22</v>
      </c>
      <c r="E14" s="6" t="s">
        <v>50</v>
      </c>
      <c r="F14" s="2">
        <v>1</v>
      </c>
      <c r="G14" s="1">
        <v>1981</v>
      </c>
      <c r="H14" s="1" t="s">
        <v>24</v>
      </c>
      <c r="I14" s="1">
        <v>2001</v>
      </c>
      <c r="J14" s="1">
        <f>I14-G14</f>
        <v>20</v>
      </c>
      <c r="K14" s="1">
        <f>I14-C14</f>
        <v>44</v>
      </c>
      <c r="L14" s="1">
        <v>3</v>
      </c>
      <c r="M14" s="7"/>
      <c r="N14" s="1" t="s">
        <v>52</v>
      </c>
      <c r="O14" s="1" t="s">
        <v>53</v>
      </c>
      <c r="P14" s="1" t="s">
        <v>27</v>
      </c>
      <c r="Q14" s="1" t="s">
        <v>54</v>
      </c>
      <c r="R14" s="1" t="s">
        <v>55</v>
      </c>
      <c r="S14" s="1" t="s">
        <v>56</v>
      </c>
    </row>
    <row r="15" spans="1:22" x14ac:dyDescent="0.3">
      <c r="A15" s="2" t="s">
        <v>57</v>
      </c>
      <c r="B15" s="5">
        <v>19325</v>
      </c>
      <c r="C15" s="2">
        <v>1952</v>
      </c>
      <c r="D15" s="2" t="s">
        <v>22</v>
      </c>
      <c r="E15" s="6" t="s">
        <v>39</v>
      </c>
      <c r="F15" s="2">
        <v>1</v>
      </c>
      <c r="G15" s="1">
        <v>1980</v>
      </c>
      <c r="H15" s="1" t="s">
        <v>24</v>
      </c>
      <c r="I15" s="1">
        <v>2001</v>
      </c>
      <c r="J15" s="1">
        <f>I15-G15</f>
        <v>21</v>
      </c>
      <c r="K15" s="1">
        <f>I15-C15</f>
        <v>49</v>
      </c>
      <c r="L15" s="1"/>
      <c r="M15" s="7" t="s">
        <v>58</v>
      </c>
      <c r="N15" s="1" t="s">
        <v>59</v>
      </c>
      <c r="O15" s="1" t="s">
        <v>60</v>
      </c>
      <c r="P15" s="1" t="s">
        <v>27</v>
      </c>
      <c r="Q15" s="1" t="s">
        <v>61</v>
      </c>
      <c r="R15" s="1" t="s">
        <v>62</v>
      </c>
      <c r="T15" s="1" t="s">
        <v>63</v>
      </c>
    </row>
    <row r="16" spans="1:22" x14ac:dyDescent="0.3">
      <c r="A16" s="2" t="s">
        <v>67</v>
      </c>
      <c r="B16" s="5">
        <v>20295</v>
      </c>
      <c r="C16" s="8">
        <v>1955</v>
      </c>
      <c r="D16" s="2" t="s">
        <v>22</v>
      </c>
      <c r="E16" s="9" t="s">
        <v>68</v>
      </c>
      <c r="F16" s="2">
        <v>5</v>
      </c>
      <c r="H16" s="1" t="s">
        <v>24</v>
      </c>
      <c r="I16" s="1">
        <v>2009</v>
      </c>
      <c r="J16" s="1"/>
      <c r="K16" s="1">
        <f>I16-C16</f>
        <v>54</v>
      </c>
      <c r="L16" s="1">
        <v>2</v>
      </c>
      <c r="M16" s="7"/>
      <c r="O16" t="s">
        <v>69</v>
      </c>
      <c r="P16" t="s">
        <v>66</v>
      </c>
      <c r="R16" t="s">
        <v>70</v>
      </c>
      <c r="U16" t="s">
        <v>71</v>
      </c>
    </row>
    <row r="17" spans="1:21" x14ac:dyDescent="0.3">
      <c r="A17" s="2" t="s">
        <v>72</v>
      </c>
      <c r="B17" s="5">
        <v>20474</v>
      </c>
      <c r="C17" s="8"/>
      <c r="D17" s="2" t="s">
        <v>22</v>
      </c>
      <c r="E17" s="9" t="s">
        <v>73</v>
      </c>
      <c r="F17" s="2">
        <v>5</v>
      </c>
      <c r="H17" s="1"/>
      <c r="I17" s="1"/>
      <c r="J17" s="1"/>
      <c r="K17" s="1"/>
      <c r="L17" s="1"/>
      <c r="M17" s="7"/>
      <c r="O17" t="s">
        <v>71</v>
      </c>
      <c r="P17" t="s">
        <v>65</v>
      </c>
    </row>
    <row r="18" spans="1:21" x14ac:dyDescent="0.3">
      <c r="A18" s="2" t="s">
        <v>74</v>
      </c>
      <c r="B18" s="5">
        <v>20872</v>
      </c>
      <c r="C18" s="8">
        <v>1957</v>
      </c>
      <c r="D18" s="2" t="s">
        <v>22</v>
      </c>
      <c r="E18" s="9" t="s">
        <v>75</v>
      </c>
      <c r="F18" s="2">
        <v>5</v>
      </c>
      <c r="H18" s="1" t="s">
        <v>24</v>
      </c>
      <c r="I18" s="1">
        <v>2001</v>
      </c>
      <c r="J18" s="1"/>
      <c r="K18" s="1">
        <f>I18-C18</f>
        <v>44</v>
      </c>
      <c r="L18" s="1"/>
      <c r="M18" s="7"/>
      <c r="O18" t="s">
        <v>76</v>
      </c>
      <c r="P18" t="s">
        <v>77</v>
      </c>
      <c r="R18" t="s">
        <v>70</v>
      </c>
    </row>
    <row r="19" spans="1:21" x14ac:dyDescent="0.3">
      <c r="A19" s="2" t="s">
        <v>78</v>
      </c>
      <c r="B19" s="5">
        <v>21743</v>
      </c>
      <c r="C19" s="8">
        <v>1959</v>
      </c>
      <c r="D19" s="2" t="s">
        <v>22</v>
      </c>
      <c r="E19" s="9" t="s">
        <v>79</v>
      </c>
      <c r="F19" s="2">
        <v>5</v>
      </c>
      <c r="H19" s="1" t="s">
        <v>24</v>
      </c>
      <c r="I19" s="1">
        <v>2000</v>
      </c>
      <c r="J19" s="1"/>
      <c r="K19" s="1">
        <f>I19-C19</f>
        <v>41</v>
      </c>
      <c r="L19" s="1"/>
      <c r="M19" s="7"/>
      <c r="O19" t="s">
        <v>76</v>
      </c>
      <c r="P19" t="s">
        <v>65</v>
      </c>
      <c r="Q19" t="s">
        <v>80</v>
      </c>
      <c r="T19" t="s">
        <v>81</v>
      </c>
    </row>
    <row r="20" spans="1:21" x14ac:dyDescent="0.3">
      <c r="A20" s="2" t="s">
        <v>82</v>
      </c>
      <c r="B20" s="5">
        <v>21866</v>
      </c>
      <c r="C20" s="8">
        <v>1959</v>
      </c>
      <c r="D20" s="2" t="s">
        <v>22</v>
      </c>
      <c r="E20" s="9" t="s">
        <v>79</v>
      </c>
      <c r="F20" s="2">
        <v>5</v>
      </c>
      <c r="H20" s="1" t="s">
        <v>24</v>
      </c>
      <c r="I20" s="1">
        <v>2004</v>
      </c>
      <c r="J20" s="1"/>
      <c r="K20" s="1">
        <f>I20-C20</f>
        <v>45</v>
      </c>
      <c r="L20" s="1"/>
      <c r="M20" s="7"/>
      <c r="O20" t="s">
        <v>69</v>
      </c>
      <c r="P20" t="s">
        <v>77</v>
      </c>
    </row>
    <row r="21" spans="1:21" x14ac:dyDescent="0.3">
      <c r="A21" s="2" t="s">
        <v>83</v>
      </c>
      <c r="B21" s="5">
        <v>22375</v>
      </c>
      <c r="C21" s="8">
        <v>64</v>
      </c>
      <c r="D21" s="2" t="s">
        <v>22</v>
      </c>
      <c r="E21" s="9" t="s">
        <v>84</v>
      </c>
      <c r="F21" s="2">
        <v>5</v>
      </c>
      <c r="H21" s="1"/>
      <c r="I21" s="1"/>
      <c r="J21" s="1"/>
      <c r="K21" s="1"/>
      <c r="L21" s="1"/>
      <c r="M21" s="7"/>
      <c r="U21" t="s">
        <v>85</v>
      </c>
    </row>
    <row r="22" spans="1:21" x14ac:dyDescent="0.3">
      <c r="A22" s="2" t="s">
        <v>86</v>
      </c>
      <c r="B22" s="5">
        <v>22402</v>
      </c>
      <c r="C22" s="8">
        <v>64</v>
      </c>
      <c r="D22" s="2" t="s">
        <v>22</v>
      </c>
      <c r="E22" s="9" t="s">
        <v>79</v>
      </c>
      <c r="F22" s="2">
        <v>5</v>
      </c>
      <c r="H22" s="1"/>
      <c r="I22" s="1"/>
      <c r="J22" s="1"/>
      <c r="K22" s="1"/>
      <c r="L22" s="1"/>
      <c r="M22" s="7"/>
      <c r="O22" t="s">
        <v>69</v>
      </c>
      <c r="P22" t="s">
        <v>87</v>
      </c>
    </row>
    <row r="23" spans="1:21" x14ac:dyDescent="0.3">
      <c r="A23" s="2" t="s">
        <v>88</v>
      </c>
      <c r="B23" s="5">
        <v>22776</v>
      </c>
      <c r="C23" s="8">
        <v>63</v>
      </c>
      <c r="D23" s="2" t="s">
        <v>22</v>
      </c>
      <c r="E23" s="9" t="s">
        <v>84</v>
      </c>
      <c r="F23" s="2">
        <v>5</v>
      </c>
      <c r="H23" s="1"/>
      <c r="I23" s="1"/>
      <c r="J23" s="1"/>
      <c r="K23" s="1"/>
      <c r="L23" s="1"/>
      <c r="M23" s="7"/>
      <c r="O23" t="s">
        <v>71</v>
      </c>
      <c r="P23" t="s">
        <v>65</v>
      </c>
    </row>
    <row r="24" spans="1:21" x14ac:dyDescent="0.3">
      <c r="A24" s="2" t="s">
        <v>89</v>
      </c>
      <c r="B24" s="5">
        <v>22977</v>
      </c>
      <c r="C24" s="8">
        <v>63</v>
      </c>
      <c r="D24" s="2" t="s">
        <v>22</v>
      </c>
      <c r="E24" s="9" t="s">
        <v>90</v>
      </c>
      <c r="F24" s="2">
        <v>5</v>
      </c>
      <c r="H24" s="1"/>
      <c r="I24" s="1"/>
      <c r="J24" s="1"/>
      <c r="K24" s="1"/>
      <c r="L24" s="1"/>
      <c r="M24" s="7"/>
      <c r="O24" t="s">
        <v>76</v>
      </c>
      <c r="P24" t="s">
        <v>77</v>
      </c>
    </row>
    <row r="25" spans="1:21" x14ac:dyDescent="0.3">
      <c r="A25" s="2" t="s">
        <v>91</v>
      </c>
      <c r="B25" s="5">
        <v>23124</v>
      </c>
      <c r="C25" s="8">
        <v>62</v>
      </c>
      <c r="D25" s="2" t="s">
        <v>22</v>
      </c>
      <c r="E25" s="9" t="s">
        <v>92</v>
      </c>
      <c r="F25" s="2">
        <v>5</v>
      </c>
      <c r="H25" s="1"/>
      <c r="I25" s="1"/>
      <c r="J25" s="1"/>
      <c r="K25" s="1"/>
      <c r="L25" s="1"/>
      <c r="M25" s="7"/>
      <c r="Q25" t="s">
        <v>80</v>
      </c>
    </row>
    <row r="26" spans="1:21" x14ac:dyDescent="0.3">
      <c r="A26" s="2" t="s">
        <v>93</v>
      </c>
      <c r="B26" s="5">
        <v>23344</v>
      </c>
      <c r="C26" s="8">
        <v>62</v>
      </c>
      <c r="D26" s="2" t="s">
        <v>22</v>
      </c>
      <c r="E26" s="9" t="s">
        <v>94</v>
      </c>
      <c r="F26" s="2">
        <v>5</v>
      </c>
      <c r="H26" s="1"/>
      <c r="I26" s="1"/>
      <c r="J26" s="1"/>
      <c r="K26" s="1"/>
      <c r="L26" s="1"/>
      <c r="M26" s="7"/>
      <c r="P26" t="s">
        <v>77</v>
      </c>
    </row>
    <row r="27" spans="1:21" x14ac:dyDescent="0.3">
      <c r="A27" s="2" t="s">
        <v>95</v>
      </c>
      <c r="B27" s="5">
        <v>23412</v>
      </c>
      <c r="C27" s="8">
        <v>61</v>
      </c>
      <c r="D27" s="2" t="s">
        <v>22</v>
      </c>
      <c r="E27" s="9" t="s">
        <v>96</v>
      </c>
      <c r="F27" s="2">
        <v>5</v>
      </c>
      <c r="H27" s="1"/>
      <c r="I27" s="1"/>
      <c r="J27" s="1"/>
      <c r="K27" s="1"/>
      <c r="L27" s="1"/>
      <c r="M27" s="7"/>
      <c r="O27" t="s">
        <v>76</v>
      </c>
      <c r="T27" t="s">
        <v>81</v>
      </c>
    </row>
    <row r="28" spans="1:21" x14ac:dyDescent="0.3">
      <c r="A28" s="2" t="s">
        <v>64</v>
      </c>
      <c r="B28" s="5">
        <v>23797</v>
      </c>
      <c r="C28" s="8">
        <v>60</v>
      </c>
      <c r="D28" s="2" t="s">
        <v>22</v>
      </c>
      <c r="E28" s="9" t="s">
        <v>97</v>
      </c>
      <c r="F28" s="2">
        <v>5</v>
      </c>
      <c r="H28" s="1"/>
      <c r="I28" s="1"/>
      <c r="J28" s="1"/>
      <c r="K28" s="1"/>
      <c r="L28" s="1"/>
      <c r="M28" s="7"/>
      <c r="O28" t="s">
        <v>69</v>
      </c>
      <c r="P28" t="s">
        <v>65</v>
      </c>
    </row>
    <row r="29" spans="1:21" x14ac:dyDescent="0.3">
      <c r="A29" s="2" t="s">
        <v>98</v>
      </c>
      <c r="B29" s="5">
        <v>23805</v>
      </c>
      <c r="C29" s="8">
        <v>60</v>
      </c>
      <c r="D29" s="2" t="s">
        <v>22</v>
      </c>
      <c r="E29" s="9" t="s">
        <v>99</v>
      </c>
      <c r="F29" s="2">
        <v>5</v>
      </c>
      <c r="H29" s="1"/>
      <c r="I29" s="1"/>
      <c r="J29" s="1"/>
      <c r="K29" s="1"/>
      <c r="L29" s="1"/>
      <c r="M29" s="7"/>
      <c r="P29" t="s">
        <v>66</v>
      </c>
      <c r="Q29" t="s">
        <v>80</v>
      </c>
      <c r="U29" t="s">
        <v>85</v>
      </c>
    </row>
    <row r="30" spans="1:21" x14ac:dyDescent="0.3">
      <c r="A30" s="2" t="s">
        <v>100</v>
      </c>
      <c r="B30" s="5">
        <v>23854</v>
      </c>
      <c r="C30" s="8">
        <v>60</v>
      </c>
      <c r="D30" s="2" t="s">
        <v>22</v>
      </c>
      <c r="E30" s="9" t="s">
        <v>101</v>
      </c>
      <c r="F30" s="2">
        <v>5</v>
      </c>
      <c r="H30" s="1"/>
      <c r="I30" s="1"/>
      <c r="J30" s="1"/>
      <c r="K30" s="1"/>
      <c r="L30" s="1">
        <v>3</v>
      </c>
      <c r="M30" s="7"/>
      <c r="O30" t="s">
        <v>71</v>
      </c>
      <c r="S30" t="s">
        <v>102</v>
      </c>
    </row>
    <row r="31" spans="1:21" x14ac:dyDescent="0.3">
      <c r="A31" s="2" t="s">
        <v>103</v>
      </c>
      <c r="B31" s="5">
        <v>24003</v>
      </c>
      <c r="C31" s="8">
        <v>1965</v>
      </c>
      <c r="D31" s="2" t="s">
        <v>22</v>
      </c>
      <c r="E31" s="9" t="s">
        <v>101</v>
      </c>
      <c r="F31" s="2">
        <v>5</v>
      </c>
      <c r="H31" s="1" t="s">
        <v>24</v>
      </c>
      <c r="I31" s="1">
        <v>2011</v>
      </c>
      <c r="J31" s="1"/>
      <c r="K31" s="1">
        <f>I31-C31</f>
        <v>46</v>
      </c>
      <c r="L31" s="1">
        <v>2</v>
      </c>
      <c r="M31" s="7"/>
      <c r="O31" t="s">
        <v>76</v>
      </c>
      <c r="P31" t="s">
        <v>66</v>
      </c>
      <c r="T31" t="s">
        <v>81</v>
      </c>
      <c r="U31" t="s">
        <v>85</v>
      </c>
    </row>
    <row r="32" spans="1:21" x14ac:dyDescent="0.3">
      <c r="A32" s="2" t="s">
        <v>104</v>
      </c>
      <c r="B32" s="5">
        <v>24073</v>
      </c>
      <c r="C32" s="8">
        <v>1965</v>
      </c>
      <c r="D32" s="2" t="s">
        <v>22</v>
      </c>
      <c r="E32" s="9" t="s">
        <v>105</v>
      </c>
      <c r="F32" s="2">
        <v>5</v>
      </c>
      <c r="H32" s="1" t="s">
        <v>24</v>
      </c>
      <c r="I32" s="1">
        <v>2014</v>
      </c>
      <c r="J32" s="1"/>
      <c r="K32" s="1">
        <f>I32-C32</f>
        <v>49</v>
      </c>
      <c r="L32" s="1"/>
      <c r="M32" s="7"/>
      <c r="O32" t="s">
        <v>69</v>
      </c>
      <c r="P32" t="s">
        <v>106</v>
      </c>
    </row>
  </sheetData>
  <autoFilter ref="A1:V32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288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Пользователь</dc:creator>
  <dc:description/>
  <cp:lastModifiedBy>USER</cp:lastModifiedBy>
  <cp:revision>20</cp:revision>
  <dcterms:created xsi:type="dcterms:W3CDTF">2025-12-23T08:14:22Z</dcterms:created>
  <dcterms:modified xsi:type="dcterms:W3CDTF">2026-01-20T13:59:35Z</dcterms:modified>
  <dc:language>ru-RU</dc:language>
</cp:coreProperties>
</file>